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o/Desktop/"/>
    </mc:Choice>
  </mc:AlternateContent>
  <xr:revisionPtr revIDLastSave="0" documentId="13_ncr:1_{7B28B2B6-0BF5-1349-84BF-547A7C0BC77F}" xr6:coauthVersionLast="47" xr6:coauthVersionMax="47" xr10:uidLastSave="{00000000-0000-0000-0000-000000000000}"/>
  <bookViews>
    <workbookView xWindow="500" yWindow="680" windowWidth="32700" windowHeight="19080" xr2:uid="{E4BBB515-A78D-7341-8724-15E5126732AB}"/>
  </bookViews>
  <sheets>
    <sheet name="Tablas Produc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16" i="1"/>
  <c r="P17" i="1"/>
  <c r="O4" i="1"/>
  <c r="P5" i="1"/>
  <c r="P4" i="1" l="1"/>
  <c r="Q4" i="1" s="1"/>
  <c r="Q8" i="1" s="1"/>
  <c r="P14" i="1" s="1"/>
  <c r="P18" i="1" l="1"/>
  <c r="P22" i="1" l="1"/>
  <c r="P23" i="1" s="1"/>
  <c r="P21" i="1"/>
</calcChain>
</file>

<file path=xl/sharedStrings.xml><?xml version="1.0" encoding="utf-8"?>
<sst xmlns="http://schemas.openxmlformats.org/spreadsheetml/2006/main" count="42" uniqueCount="33">
  <si>
    <t>Tramos Puntos Baremos</t>
  </si>
  <si>
    <t>Calidad RR</t>
  </si>
  <si>
    <t>Calidad AI</t>
  </si>
  <si>
    <t>Ejemplo Tabla</t>
  </si>
  <si>
    <t xml:space="preserve">Desde </t>
  </si>
  <si>
    <t>Hasta</t>
  </si>
  <si>
    <t>Valor PB</t>
  </si>
  <si>
    <t>Valor</t>
  </si>
  <si>
    <t>Item</t>
  </si>
  <si>
    <t>Montos</t>
  </si>
  <si>
    <t>PB Dia</t>
  </si>
  <si>
    <t>&lt; 6,51%</t>
  </si>
  <si>
    <t>&lt; 2,83 %</t>
  </si>
  <si>
    <t>Produccion mes</t>
  </si>
  <si>
    <t>&gt; 5,00%</t>
  </si>
  <si>
    <t>&gt; 1,50 %</t>
  </si>
  <si>
    <t>o Más</t>
  </si>
  <si>
    <t>Bono Produccion</t>
  </si>
  <si>
    <t>Ejemplo de Remuneración</t>
  </si>
  <si>
    <t>Técnico</t>
  </si>
  <si>
    <t>DETALLE REMUNERACION</t>
  </si>
  <si>
    <t>Sueldo Base</t>
  </si>
  <si>
    <t>Variables [ x ]</t>
  </si>
  <si>
    <t>Gratificación (*)</t>
  </si>
  <si>
    <t>Semana Corrida</t>
  </si>
  <si>
    <t>Bono</t>
  </si>
  <si>
    <t>Total Imponible</t>
  </si>
  <si>
    <t>Colación &amp; Movilización</t>
  </si>
  <si>
    <t>Plan Celular</t>
  </si>
  <si>
    <t>Total Haberes</t>
  </si>
  <si>
    <t>Cotizaciones [ 18,54% ]</t>
  </si>
  <si>
    <t>Liquido Aproximado</t>
  </si>
  <si>
    <t xml:space="preserve">Bono Calidad. Siempre y cuando tecnico cumpla con procedimientos de instalacion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</si>
</sst>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42" fontId="3" fillId="3" borderId="1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2" fontId="4" fillId="0" borderId="1" xfId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42" fontId="4" fillId="0" borderId="1" xfId="0" applyNumberFormat="1" applyFont="1" applyBorder="1" applyAlignment="1">
      <alignment horizontal="center"/>
    </xf>
    <xf numFmtId="9" fontId="4" fillId="0" borderId="1" xfId="2" applyFont="1" applyBorder="1" applyAlignment="1">
      <alignment horizontal="center"/>
    </xf>
    <xf numFmtId="42" fontId="4" fillId="0" borderId="0" xfId="1" applyFont="1" applyAlignment="1">
      <alignment horizontal="center"/>
    </xf>
    <xf numFmtId="42" fontId="3" fillId="0" borderId="1" xfId="1" applyFont="1" applyBorder="1"/>
    <xf numFmtId="42" fontId="3" fillId="3" borderId="1" xfId="1" applyFont="1" applyFill="1" applyBorder="1"/>
    <xf numFmtId="42" fontId="4" fillId="0" borderId="1" xfId="1" applyFont="1" applyBorder="1" applyAlignment="1">
      <alignment horizontal="left" indent="1"/>
    </xf>
    <xf numFmtId="42" fontId="4" fillId="0" borderId="1" xfId="1" applyFont="1" applyBorder="1"/>
    <xf numFmtId="42" fontId="4" fillId="3" borderId="1" xfId="1" applyFont="1" applyFill="1" applyBorder="1"/>
    <xf numFmtId="42" fontId="3" fillId="0" borderId="1" xfId="1" applyFont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/>
    <xf numFmtId="0" fontId="6" fillId="0" borderId="0" xfId="0" applyFont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42" fontId="4" fillId="0" borderId="0" xfId="1" applyFont="1"/>
    <xf numFmtId="42" fontId="5" fillId="3" borderId="1" xfId="1" applyFont="1" applyFill="1" applyBorder="1"/>
    <xf numFmtId="10" fontId="4" fillId="0" borderId="3" xfId="0" applyNumberFormat="1" applyFont="1" applyBorder="1" applyAlignment="1">
      <alignment horizontal="center"/>
    </xf>
    <xf numFmtId="10" fontId="4" fillId="0" borderId="4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138545</xdr:colOff>
      <xdr:row>9</xdr:row>
      <xdr:rowOff>0</xdr:rowOff>
    </xdr:from>
    <xdr:to>
      <xdr:col>11</xdr:col>
      <xdr:colOff>115454</xdr:colOff>
      <xdr:row>26</xdr:row>
      <xdr:rowOff>130573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5843D4-0E4B-A645-8857-09D598F1F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545" y="2382983"/>
          <a:ext cx="7025409" cy="3656940"/>
        </a:xfrm>
        <a:prstGeom prst="rect">
          <a:avLst/>
        </a:prstGeom>
      </xdr:spPr>
    </xdr:pic>
    <xdr:clientData/>
  </xdr:twoCellAnchor>
  <xdr:twoCellAnchor editAs="oneCell">
    <xdr:from>
      <xdr:col>0</xdr:col>
      <xdr:colOff>161636</xdr:colOff>
      <xdr:row>25</xdr:row>
      <xdr:rowOff>126001</xdr:rowOff>
    </xdr:from>
    <xdr:to>
      <xdr:col>11</xdr:col>
      <xdr:colOff>300182</xdr:colOff>
      <xdr:row>59</xdr:row>
      <xdr:rowOff>173179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98CB4A-7F93-3948-84FF-2779D0450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636" y="5891801"/>
          <a:ext cx="7187046" cy="6955979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304800</xdr:colOff>
      <xdr:row>43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1CA65E3B-89AC-B04A-BDB9-552BB385680F}"/>
            </a:ext>
          </a:extLst>
        </xdr:cNvPr>
        <xdr:cNvSpPr>
          <a:spLocks noChangeAspect="1" noChangeArrowheads="1"/>
        </xdr:cNvSpPr>
      </xdr:nvSpPr>
      <xdr:spPr bwMode="auto">
        <a:xfrm>
          <a:off x="142494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304800</xdr:colOff>
      <xdr:row>20</xdr:row>
      <xdr:rowOff>101599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240F15FD-DE64-1044-A2BC-5DDED9D8D77D}"/>
            </a:ext>
          </a:extLst>
        </xdr:cNvPr>
        <xdr:cNvSpPr>
          <a:spLocks noChangeAspect="1" noChangeArrowheads="1"/>
        </xdr:cNvSpPr>
      </xdr:nvSpPr>
      <xdr:spPr bwMode="auto">
        <a:xfrm>
          <a:off x="11201400" y="45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E052-D828-4640-820F-ACA6D0C169F5}">
  <dimension ref="B2:U41"/>
  <sheetViews>
    <sheetView showGridLines="0" tabSelected="1" zoomScale="110" zoomScaleNormal="110" workbookViewId="0">
      <selection activeCell="N27" sqref="N27"/>
    </sheetView>
  </sheetViews>
  <sheetFormatPr baseColWidth="10" defaultRowHeight="16" x14ac:dyDescent="0.2"/>
  <cols>
    <col min="1" max="1" width="3.5" style="3" customWidth="1"/>
    <col min="2" max="3" width="10.33203125" style="6" customWidth="1"/>
    <col min="4" max="4" width="9.5" style="6" bestFit="1" customWidth="1"/>
    <col min="5" max="5" width="4.33203125" style="6" customWidth="1"/>
    <col min="6" max="7" width="10.1640625" style="6" customWidth="1"/>
    <col min="8" max="8" width="9.6640625" style="6" bestFit="1" customWidth="1"/>
    <col min="9" max="9" width="4.5" style="6" customWidth="1"/>
    <col min="10" max="11" width="10" style="6" customWidth="1"/>
    <col min="12" max="12" width="9.6640625" style="6" bestFit="1" customWidth="1"/>
    <col min="13" max="13" width="4.33203125" style="6" customWidth="1"/>
    <col min="14" max="14" width="29.1640625" style="6" bestFit="1" customWidth="1"/>
    <col min="15" max="15" width="11.33203125" style="6" customWidth="1"/>
    <col min="16" max="16" width="12.5" style="6" bestFit="1" customWidth="1"/>
    <col min="17" max="18" width="11.33203125" style="6" customWidth="1"/>
    <col min="19" max="19" width="4.83203125" style="3" customWidth="1"/>
    <col min="20" max="20" width="48" style="3" customWidth="1"/>
    <col min="21" max="21" width="25.6640625" style="3" bestFit="1" customWidth="1"/>
    <col min="22" max="22" width="20.5" style="3" bestFit="1" customWidth="1"/>
    <col min="23" max="16384" width="10.83203125" style="3"/>
  </cols>
  <sheetData>
    <row r="2" spans="2:21" x14ac:dyDescent="0.2">
      <c r="B2" s="27" t="s">
        <v>0</v>
      </c>
      <c r="C2" s="27"/>
      <c r="D2" s="27"/>
      <c r="E2" s="2"/>
      <c r="F2" s="26" t="s">
        <v>1</v>
      </c>
      <c r="G2" s="26"/>
      <c r="H2" s="26"/>
      <c r="I2" s="2"/>
      <c r="J2" s="26" t="s">
        <v>2</v>
      </c>
      <c r="K2" s="26"/>
      <c r="L2" s="26"/>
      <c r="M2" s="2"/>
      <c r="N2" s="27" t="s">
        <v>3</v>
      </c>
      <c r="O2" s="27"/>
      <c r="P2" s="27"/>
      <c r="Q2" s="1"/>
      <c r="R2" s="1">
        <v>24</v>
      </c>
    </row>
    <row r="3" spans="2:21" x14ac:dyDescent="0.2">
      <c r="B3" s="1" t="s">
        <v>4</v>
      </c>
      <c r="C3" s="1" t="s">
        <v>5</v>
      </c>
      <c r="D3" s="1" t="s">
        <v>6</v>
      </c>
      <c r="E3" s="2"/>
      <c r="F3" s="1" t="s">
        <v>4</v>
      </c>
      <c r="G3" s="1" t="s">
        <v>5</v>
      </c>
      <c r="H3" s="1" t="s">
        <v>7</v>
      </c>
      <c r="I3" s="2"/>
      <c r="J3" s="1" t="s">
        <v>4</v>
      </c>
      <c r="K3" s="1" t="s">
        <v>5</v>
      </c>
      <c r="L3" s="1" t="s">
        <v>7</v>
      </c>
      <c r="M3" s="2"/>
      <c r="N3" s="1" t="s">
        <v>8</v>
      </c>
      <c r="O3" s="1" t="s">
        <v>7</v>
      </c>
      <c r="P3" s="1" t="s">
        <v>9</v>
      </c>
      <c r="Q3" s="1" t="s">
        <v>9</v>
      </c>
      <c r="R3" s="1" t="s">
        <v>10</v>
      </c>
    </row>
    <row r="4" spans="2:21" ht="18" customHeight="1" x14ac:dyDescent="0.2">
      <c r="B4" s="4">
        <v>0</v>
      </c>
      <c r="C4" s="4">
        <v>95</v>
      </c>
      <c r="D4" s="5">
        <v>0</v>
      </c>
      <c r="F4" s="28" t="s">
        <v>11</v>
      </c>
      <c r="G4" s="29"/>
      <c r="H4" s="5">
        <v>0</v>
      </c>
      <c r="J4" s="28" t="s">
        <v>12</v>
      </c>
      <c r="K4" s="29"/>
      <c r="L4" s="5">
        <v>0</v>
      </c>
      <c r="N4" s="5" t="s">
        <v>13</v>
      </c>
      <c r="O4" s="4">
        <f>R4*R2</f>
        <v>180</v>
      </c>
      <c r="P4" s="7">
        <f>VLOOKUP(O4,B3:D8,3,1)</f>
        <v>3040</v>
      </c>
      <c r="Q4" s="7">
        <f>(O4-C4)*P4</f>
        <v>258400</v>
      </c>
      <c r="R4" s="21">
        <v>7.5</v>
      </c>
      <c r="T4" s="22"/>
    </row>
    <row r="5" spans="2:21" ht="18" customHeight="1" x14ac:dyDescent="0.2">
      <c r="B5" s="4">
        <v>96</v>
      </c>
      <c r="C5" s="4">
        <v>126</v>
      </c>
      <c r="D5" s="5">
        <v>475</v>
      </c>
      <c r="F5" s="8">
        <v>6.5000000000000002E-2</v>
      </c>
      <c r="G5" s="8">
        <v>6.0100000000000001E-2</v>
      </c>
      <c r="H5" s="5">
        <v>20000</v>
      </c>
      <c r="J5" s="8">
        <v>2.8199999999999999E-2</v>
      </c>
      <c r="K5" s="8">
        <v>2.01E-2</v>
      </c>
      <c r="L5" s="5">
        <v>20000</v>
      </c>
      <c r="N5" s="5" t="s">
        <v>1</v>
      </c>
      <c r="O5" s="8">
        <v>5.5E-2</v>
      </c>
      <c r="P5" s="7">
        <f>H6</f>
        <v>40000</v>
      </c>
      <c r="Q5" s="7">
        <v>0</v>
      </c>
      <c r="R5" s="9"/>
    </row>
    <row r="6" spans="2:21" ht="18" customHeight="1" x14ac:dyDescent="0.2">
      <c r="B6" s="4">
        <v>127</v>
      </c>
      <c r="C6" s="4">
        <v>147</v>
      </c>
      <c r="D6" s="5">
        <v>950</v>
      </c>
      <c r="F6" s="8">
        <v>0.06</v>
      </c>
      <c r="G6" s="8">
        <v>5.0099999999999999E-2</v>
      </c>
      <c r="H6" s="5">
        <v>40000</v>
      </c>
      <c r="J6" s="8">
        <v>0.02</v>
      </c>
      <c r="K6" s="8">
        <v>1.5100000000000001E-2</v>
      </c>
      <c r="L6" s="5">
        <v>40000</v>
      </c>
      <c r="N6" s="5" t="s">
        <v>2</v>
      </c>
      <c r="O6" s="10">
        <v>0.03</v>
      </c>
      <c r="P6" s="7">
        <v>0</v>
      </c>
      <c r="Q6" s="7">
        <v>0</v>
      </c>
      <c r="R6" s="4"/>
    </row>
    <row r="7" spans="2:21" ht="18" customHeight="1" x14ac:dyDescent="0.2">
      <c r="B7" s="4">
        <v>148</v>
      </c>
      <c r="C7" s="4">
        <v>163</v>
      </c>
      <c r="D7" s="5">
        <v>2660</v>
      </c>
      <c r="F7" s="24" t="s">
        <v>14</v>
      </c>
      <c r="G7" s="25"/>
      <c r="H7" s="5">
        <v>65000</v>
      </c>
      <c r="J7" s="24" t="s">
        <v>15</v>
      </c>
      <c r="K7" s="25"/>
      <c r="L7" s="5">
        <v>65000</v>
      </c>
      <c r="N7" s="5"/>
      <c r="O7" s="4"/>
      <c r="P7" s="7"/>
      <c r="Q7" s="7"/>
      <c r="R7" s="4"/>
    </row>
    <row r="8" spans="2:21" ht="18" customHeight="1" x14ac:dyDescent="0.2">
      <c r="B8" s="4">
        <v>164</v>
      </c>
      <c r="C8" s="4" t="s">
        <v>16</v>
      </c>
      <c r="D8" s="5">
        <v>3040</v>
      </c>
      <c r="N8" s="5" t="s">
        <v>17</v>
      </c>
      <c r="O8" s="4"/>
      <c r="P8" s="7"/>
      <c r="Q8" s="7">
        <f>SUM(Q4:Q7)</f>
        <v>258400</v>
      </c>
      <c r="R8" s="4"/>
    </row>
    <row r="9" spans="2:21" ht="18" customHeight="1" x14ac:dyDescent="0.2">
      <c r="P9" s="11"/>
      <c r="Q9" s="11"/>
    </row>
    <row r="10" spans="2:21" ht="18" customHeight="1" x14ac:dyDescent="0.2"/>
    <row r="11" spans="2:21" ht="18" customHeight="1" x14ac:dyDescent="0.2">
      <c r="N11" s="26" t="s">
        <v>18</v>
      </c>
      <c r="O11" s="26"/>
      <c r="P11" s="26" t="s">
        <v>19</v>
      </c>
    </row>
    <row r="12" spans="2:21" ht="18" customHeight="1" x14ac:dyDescent="0.2">
      <c r="N12" s="12" t="s">
        <v>20</v>
      </c>
      <c r="O12" s="12"/>
      <c r="P12" s="13"/>
      <c r="U12" s="6"/>
    </row>
    <row r="13" spans="2:21" x14ac:dyDescent="0.2">
      <c r="N13" s="14" t="s">
        <v>21</v>
      </c>
      <c r="O13" s="15"/>
      <c r="P13" s="16">
        <v>550000</v>
      </c>
    </row>
    <row r="14" spans="2:21" x14ac:dyDescent="0.2">
      <c r="N14" s="14" t="s">
        <v>22</v>
      </c>
      <c r="O14" s="15"/>
      <c r="P14" s="16">
        <f>Q8</f>
        <v>258400</v>
      </c>
    </row>
    <row r="15" spans="2:21" s="6" customFormat="1" x14ac:dyDescent="0.2">
      <c r="N15" s="14" t="s">
        <v>23</v>
      </c>
      <c r="O15" s="15"/>
      <c r="P15" s="16">
        <f>(P13+P14)*25%</f>
        <v>202100</v>
      </c>
    </row>
    <row r="16" spans="2:21" s="6" customFormat="1" x14ac:dyDescent="0.2">
      <c r="N16" s="14" t="s">
        <v>24</v>
      </c>
      <c r="O16" s="15"/>
      <c r="P16" s="16">
        <f>P14/30*5</f>
        <v>43066.666666666672</v>
      </c>
    </row>
    <row r="17" spans="14:21" s="6" customFormat="1" x14ac:dyDescent="0.2">
      <c r="N17" s="14" t="s">
        <v>25</v>
      </c>
      <c r="O17" s="15"/>
      <c r="P17" s="16">
        <f>H7+L7</f>
        <v>130000</v>
      </c>
      <c r="Q17" s="31" t="s">
        <v>32</v>
      </c>
      <c r="R17" s="30"/>
      <c r="S17" s="30"/>
      <c r="T17" s="30"/>
    </row>
    <row r="18" spans="14:21" s="6" customFormat="1" x14ac:dyDescent="0.2">
      <c r="N18" s="17" t="s">
        <v>26</v>
      </c>
      <c r="O18" s="12"/>
      <c r="P18" s="13">
        <f>SUM(P13:P17)</f>
        <v>1183566.6666666667</v>
      </c>
    </row>
    <row r="19" spans="14:21" s="6" customFormat="1" x14ac:dyDescent="0.2">
      <c r="N19" s="14" t="s">
        <v>27</v>
      </c>
      <c r="O19" s="15"/>
      <c r="P19" s="16">
        <v>0</v>
      </c>
    </row>
    <row r="20" spans="14:21" s="6" customFormat="1" x14ac:dyDescent="0.2">
      <c r="N20" s="14" t="s">
        <v>28</v>
      </c>
      <c r="O20" s="15"/>
      <c r="P20" s="16">
        <v>0</v>
      </c>
    </row>
    <row r="21" spans="14:21" s="6" customFormat="1" x14ac:dyDescent="0.2">
      <c r="N21" s="14" t="s">
        <v>29</v>
      </c>
      <c r="O21" s="15"/>
      <c r="P21" s="16">
        <f>SUM(P18:P20)</f>
        <v>1183566.6666666667</v>
      </c>
      <c r="U21" s="11"/>
    </row>
    <row r="22" spans="14:21" s="6" customFormat="1" x14ac:dyDescent="0.2">
      <c r="N22" s="14" t="s">
        <v>30</v>
      </c>
      <c r="O22" s="15"/>
      <c r="P22" s="16">
        <f>P18*0.18</f>
        <v>213042</v>
      </c>
    </row>
    <row r="23" spans="14:21" s="6" customFormat="1" x14ac:dyDescent="0.2">
      <c r="N23" s="18" t="s">
        <v>31</v>
      </c>
      <c r="O23" s="19"/>
      <c r="P23" s="23">
        <f>P18-P22+P19</f>
        <v>970524.66666666674</v>
      </c>
    </row>
    <row r="26" spans="14:21" x14ac:dyDescent="0.2">
      <c r="N26" s="20"/>
    </row>
    <row r="27" spans="14:21" x14ac:dyDescent="0.2">
      <c r="N27" s="20"/>
    </row>
    <row r="29" spans="14:21" x14ac:dyDescent="0.2">
      <c r="N29" s="20"/>
    </row>
    <row r="30" spans="14:21" x14ac:dyDescent="0.2">
      <c r="N30" s="20"/>
    </row>
    <row r="31" spans="14:21" x14ac:dyDescent="0.2">
      <c r="N31" s="20"/>
    </row>
    <row r="32" spans="14:21" x14ac:dyDescent="0.2">
      <c r="N32" s="20"/>
    </row>
    <row r="33" spans="14:14" x14ac:dyDescent="0.2">
      <c r="N33" s="20"/>
    </row>
    <row r="34" spans="14:14" x14ac:dyDescent="0.2">
      <c r="N34" s="20"/>
    </row>
    <row r="35" spans="14:14" x14ac:dyDescent="0.2">
      <c r="N35" s="20"/>
    </row>
    <row r="36" spans="14:14" x14ac:dyDescent="0.2">
      <c r="N36" s="20"/>
    </row>
    <row r="37" spans="14:14" x14ac:dyDescent="0.2">
      <c r="N37" s="20"/>
    </row>
    <row r="38" spans="14:14" x14ac:dyDescent="0.2">
      <c r="N38" s="20"/>
    </row>
    <row r="39" spans="14:14" x14ac:dyDescent="0.2">
      <c r="N39" s="20"/>
    </row>
    <row r="40" spans="14:14" x14ac:dyDescent="0.2">
      <c r="N40" s="20"/>
    </row>
    <row r="41" spans="14:14" x14ac:dyDescent="0.2">
      <c r="N41" s="20"/>
    </row>
  </sheetData>
  <mergeCells count="10">
    <mergeCell ref="Q17:T17"/>
    <mergeCell ref="F7:G7"/>
    <mergeCell ref="J7:K7"/>
    <mergeCell ref="N11:P11"/>
    <mergeCell ref="B2:D2"/>
    <mergeCell ref="F2:H2"/>
    <mergeCell ref="J2:L2"/>
    <mergeCell ref="N2:P2"/>
    <mergeCell ref="F4:G4"/>
    <mergeCell ref="J4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Tablas Produccion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Salinas M.</dc:creator>
  <cp:lastModifiedBy>Mauro Barrientos</cp:lastModifiedBy>
  <dcterms:created xsi:type="dcterms:W3CDTF">2025-10-21T11:35:12Z</dcterms:created>
  <dcterms:modified xsi:type="dcterms:W3CDTF">2026-03-24T14:17:36Z</dcterms:modified>
</cp:coreProperties>
</file>